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evvvf\AppData\Local\TempReleases\Snapshot\1\Sources\REV 1.00 (2026-09-11)\04 - ASSEMBLY\"/>
    </mc:Choice>
  </mc:AlternateContent>
  <xr:revisionPtr revIDLastSave="0" documentId="8_{3AEB8782-9EA3-43D8-8489-EED8A7382D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OM" sheetId="1" r:id="rId1"/>
  </sheets>
  <definedNames>
    <definedName name="_xlnm.Print_Area" localSheetId="0">BOM!$A:$K</definedName>
    <definedName name="_xlnm.Print_Titles" localSheetId="0">BOM!$11:$11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6" i="1" l="1"/>
  <c r="A36" i="1"/>
  <c r="J35" i="1"/>
  <c r="A35" i="1"/>
  <c r="J34" i="1"/>
  <c r="A34" i="1"/>
  <c r="J33" i="1"/>
  <c r="A33" i="1"/>
  <c r="J32" i="1"/>
  <c r="A32" i="1"/>
  <c r="J31" i="1"/>
  <c r="A31" i="1"/>
  <c r="J30" i="1"/>
  <c r="A30" i="1"/>
  <c r="J29" i="1"/>
  <c r="A29" i="1"/>
  <c r="J28" i="1"/>
  <c r="A28" i="1"/>
  <c r="J27" i="1"/>
  <c r="A27" i="1"/>
  <c r="J26" i="1"/>
  <c r="A26" i="1"/>
  <c r="J25" i="1"/>
  <c r="A25" i="1"/>
  <c r="J24" i="1"/>
  <c r="A24" i="1"/>
  <c r="J23" i="1"/>
  <c r="A23" i="1"/>
  <c r="J22" i="1"/>
  <c r="A22" i="1"/>
  <c r="J21" i="1"/>
  <c r="A21" i="1"/>
  <c r="J20" i="1"/>
  <c r="A20" i="1"/>
  <c r="J19" i="1"/>
  <c r="A19" i="1"/>
  <c r="J18" i="1"/>
  <c r="A18" i="1"/>
  <c r="J17" i="1"/>
  <c r="A17" i="1"/>
  <c r="J16" i="1"/>
  <c r="A16" i="1"/>
  <c r="J15" i="1"/>
  <c r="A15" i="1"/>
  <c r="J14" i="1"/>
  <c r="A14" i="1"/>
  <c r="A12" i="1"/>
  <c r="A13" i="1"/>
  <c r="B8" i="1"/>
  <c r="J12" i="1"/>
  <c r="J13" i="1" l="1"/>
</calcChain>
</file>

<file path=xl/sharedStrings.xml><?xml version="1.0" encoding="utf-8"?>
<sst xmlns="http://schemas.openxmlformats.org/spreadsheetml/2006/main" count="165" uniqueCount="121">
  <si>
    <t xml:space="preserve">Bill of Material </t>
  </si>
  <si>
    <t>Board</t>
  </si>
  <si>
    <t>Quantity Total</t>
  </si>
  <si>
    <t>Variant</t>
  </si>
  <si>
    <t>Concepteur Principal</t>
  </si>
  <si>
    <t>Commentaires ou instruction spécialies</t>
  </si>
  <si>
    <t>Date du projet</t>
  </si>
  <si>
    <t>Nombre de PCB</t>
  </si>
  <si>
    <t>Département</t>
  </si>
  <si>
    <t>Cours</t>
  </si>
  <si>
    <t>Révision</t>
  </si>
  <si>
    <t>Technologies du génie électrique</t>
  </si>
  <si>
    <t>Date de génération du BOM</t>
  </si>
  <si>
    <t>Heure de génération du BOM</t>
  </si>
  <si>
    <t>Item #</t>
  </si>
  <si>
    <t>Noeud_capteurs_CWSB</t>
  </si>
  <si>
    <t>William Champagne</t>
  </si>
  <si>
    <t>1</t>
  </si>
  <si>
    <t>CI3 (243-554-SH)</t>
  </si>
  <si>
    <t>2026-08-24</t>
  </si>
  <si>
    <t>00</t>
  </si>
  <si>
    <t>2026-09-11</t>
  </si>
  <si>
    <t>12:04 PM</t>
  </si>
  <si>
    <t>None</t>
  </si>
  <si>
    <t>Designator</t>
  </si>
  <si>
    <t>C1, C2, C5, C6, C7, C8, C9</t>
  </si>
  <si>
    <t>C3, C10, C14</t>
  </si>
  <si>
    <t>C4</t>
  </si>
  <si>
    <t>C11, C12</t>
  </si>
  <si>
    <t>C13</t>
  </si>
  <si>
    <t>D1</t>
  </si>
  <si>
    <t>D2</t>
  </si>
  <si>
    <t>D3</t>
  </si>
  <si>
    <t>D4</t>
  </si>
  <si>
    <t>D5</t>
  </si>
  <si>
    <t>D6</t>
  </si>
  <si>
    <t>F1</t>
  </si>
  <si>
    <t>IC1</t>
  </si>
  <si>
    <t>J1</t>
  </si>
  <si>
    <t>J2</t>
  </si>
  <si>
    <t>J3</t>
  </si>
  <si>
    <t>J4</t>
  </si>
  <si>
    <t>R1, R2, R3, R4, R5, R6, R7, R8, R9, R10, R11, R12, R13, R14, R15, R16, R17, R18</t>
  </si>
  <si>
    <t>S1, S2</t>
  </si>
  <si>
    <t>U1</t>
  </si>
  <si>
    <t>U2</t>
  </si>
  <si>
    <t>U3</t>
  </si>
  <si>
    <t>U4</t>
  </si>
  <si>
    <t>U5</t>
  </si>
  <si>
    <t>U6</t>
  </si>
  <si>
    <t>Layer</t>
  </si>
  <si>
    <t>Description</t>
  </si>
  <si>
    <t>CAP CER 1UF 50V X7R 0603</t>
  </si>
  <si>
    <t>CAP CER 10UF 6.3V X5R 0603</t>
  </si>
  <si>
    <t>CAP CER 0.1UF 6.3V X7R 0603</t>
  </si>
  <si>
    <t>CAP CER 1UF 16V X7R 0603</t>
  </si>
  <si>
    <t>CAP CER 0.1UF 16V X7R 0603</t>
  </si>
  <si>
    <t>TVS DIODE 5.25V 17V SOT666</t>
  </si>
  <si>
    <t>DIODE SCHOTTKY 100V 1A SOD123FL</t>
  </si>
  <si>
    <t>Neopixel Mini 3535 Rgb Leds W/ Integrated Driver Chip - White - Pack Of 10</t>
  </si>
  <si>
    <t>LED GREEN DIFFUSED 0603 SMD</t>
  </si>
  <si>
    <t>LED YELLOW DIFFUSED 0603 SMD</t>
  </si>
  <si>
    <t>LED RED DIFFUSED 1608 SMD</t>
  </si>
  <si>
    <t>PTC Resettable Fuse 1A(hold) 1.8A(trip) 6VDC 100A 0.6W 0.3s 0.55Ohm SMD Solder Pad 1206 T/R Automotive</t>
  </si>
  <si>
    <t>MOSFET P-CH 20V 4A SOT23-3</t>
  </si>
  <si>
    <t>CONN RCP USB2.0 TYP C 24P SMD RA</t>
  </si>
  <si>
    <t>Digital Relative Humidity Temperature Sensor, Â±1.8 / max 2.5 %RH, Â±0.2 Â°C, Ultra-Low-Power, with filtermembrane</t>
  </si>
  <si>
    <t>CON - Header 1x3 pins-100Mils - TH</t>
  </si>
  <si>
    <t>Connector Header Through Hole 2 position 0.079 (2.00mm)</t>
  </si>
  <si>
    <t>RES 150 OHM 5% 1/4W 0603</t>
  </si>
  <si>
    <t>SWITCH TACTILE SPST-NO 0.02A 15V</t>
  </si>
  <si>
    <t>Optical Sensor Ambient - IÂ²C 4-SMD, J-Lead</t>
  </si>
  <si>
    <t>Air Quality, Carbon Dioxide (CO2), Metal Oxide (MOX) Sensor IÂ²C, SPI</t>
  </si>
  <si>
    <t>IC REG LINEAR 3.3V 500MA 6SON</t>
  </si>
  <si>
    <t>Stand-Alone Linear Li-Ion/Li-Polymer Charge Management Controller with Power-Good Output, 4.2V, 10-Pin DFN, Industrial Temperature, Tape and Reel</t>
  </si>
  <si>
    <t>800mA Low-Dropout Linear Regulator, 4-pin SOT-223, Pb-Free</t>
  </si>
  <si>
    <t>Comment</t>
  </si>
  <si>
    <t>1µF</t>
  </si>
  <si>
    <t>10 µF</t>
  </si>
  <si>
    <t>0.1 µF</t>
  </si>
  <si>
    <t>1 µF</t>
  </si>
  <si>
    <t>USBLC6-2P6</t>
  </si>
  <si>
    <t>MBR1H100SFT3G</t>
  </si>
  <si>
    <t>Neopixel_3535</t>
  </si>
  <si>
    <t>Green</t>
  </si>
  <si>
    <t>Yellow</t>
  </si>
  <si>
    <t>Red</t>
  </si>
  <si>
    <t>PTC_1.8A_1206</t>
  </si>
  <si>
    <t>DMG3415U-7</t>
  </si>
  <si>
    <t>DX07S016JA1R1500</t>
  </si>
  <si>
    <t>SHT41-AD1B-R2</t>
  </si>
  <si>
    <t>CON_HDR_1X3</t>
  </si>
  <si>
    <t>B2B-PH-K-S</t>
  </si>
  <si>
    <t>5.1k Ohms, 0 Ohms, 100K Ohms, 10k Ohms, 4.7K Ohms, 10 Ohms, 5.9k Ohms, 470 Ohms, 150 Ohms, 75 Ohms</t>
  </si>
  <si>
    <t>EVQ-P2202M</t>
  </si>
  <si>
    <t>ESP32-C3-MINI-1-N4</t>
  </si>
  <si>
    <t>VEML7700-TT</t>
  </si>
  <si>
    <t>ENS160-BGLM</t>
  </si>
  <si>
    <t>LP5912-3.3DRVT</t>
  </si>
  <si>
    <t>MCP73833T-FCI/MF</t>
  </si>
  <si>
    <t>LM1117MPX-ADJ/NOPB</t>
  </si>
  <si>
    <t>Package / Case</t>
  </si>
  <si>
    <t>0603 (1608 Metric)</t>
  </si>
  <si>
    <t>SOD-123F</t>
  </si>
  <si>
    <t>TO-236-3, SC-59, SOT-23-3</t>
  </si>
  <si>
    <t>Supplier 1</t>
  </si>
  <si>
    <t>DigiKey</t>
  </si>
  <si>
    <t>Supplier Part Number 1</t>
  </si>
  <si>
    <t>478-10073-1-ND</t>
  </si>
  <si>
    <t>490-3896-1-ND</t>
  </si>
  <si>
    <t>709-1009-1-ND</t>
  </si>
  <si>
    <t>399-17704-1-ND</t>
  </si>
  <si>
    <t>311-3560-1-ND</t>
  </si>
  <si>
    <t>MBR1H100SFT3GOSCT-ND</t>
  </si>
  <si>
    <t>511-1579-1-ND</t>
  </si>
  <si>
    <t>511-1311-1-ND</t>
  </si>
  <si>
    <t>SML-D12U1WT86CT-ND</t>
  </si>
  <si>
    <t>DMG3415UDICT-ND</t>
  </si>
  <si>
    <t>10-ERJ-UP3J151VCT-ND</t>
  </si>
  <si>
    <t>Quantity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</si>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</sst>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&quot;$&quot;"/>
    <numFmt numFmtId="165" formatCode="0.000%"/>
    <numFmt numFmtId="166" formatCode="yyyy/mm/dd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48"/>
      <color rgb="FF085C4D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85C4D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0" fontId="4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0" borderId="25" xfId="0" applyFont="1" applyBorder="1"/>
    <xf numFmtId="0" fontId="7" fillId="0" borderId="28" xfId="0" applyFont="1" applyBorder="1"/>
    <xf numFmtId="0" fontId="7" fillId="0" borderId="34" xfId="0" applyFont="1" applyBorder="1"/>
    <xf numFmtId="0" fontId="7" fillId="0" borderId="31" xfId="0" applyFont="1" applyBorder="1" applyAlignment="1">
      <alignment wrapText="1"/>
    </xf>
    <xf numFmtId="0" fontId="7" fillId="0" borderId="31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8" fillId="0" borderId="32" xfId="0" applyFont="1" applyBorder="1" applyAlignment="1">
      <alignment horizontal="left"/>
    </xf>
    <xf numFmtId="0" fontId="8" fillId="0" borderId="33" xfId="0" applyFont="1" applyBorder="1" applyAlignment="1">
      <alignment horizontal="left"/>
    </xf>
    <xf numFmtId="0" fontId="0" fillId="0" borderId="8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2" fillId="2" borderId="4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 wrapText="1"/>
    </xf>
    <xf numFmtId="0" fontId="2" fillId="2" borderId="12" xfId="0" applyFont="1" applyFill="1" applyBorder="1" applyAlignment="1">
      <alignment horizontal="left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8" fillId="0" borderId="27" xfId="0" applyFont="1" applyBorder="1" applyAlignment="1">
      <alignment horizontal="left" vertical="center"/>
    </xf>
    <xf numFmtId="0" fontId="8" fillId="0" borderId="29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/>
    </xf>
    <xf numFmtId="0" fontId="7" fillId="0" borderId="28" xfId="0" applyFont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0" fontId="7" fillId="0" borderId="26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166" fontId="8" fillId="0" borderId="29" xfId="0" applyNumberFormat="1" applyFont="1" applyBorder="1" applyAlignment="1">
      <alignment horizontal="left"/>
    </xf>
    <xf numFmtId="166" fontId="8" fillId="0" borderId="30" xfId="0" applyNumberFormat="1" applyFont="1" applyBorder="1" applyAlignment="1">
      <alignment horizontal="left"/>
    </xf>
    <xf numFmtId="0" fontId="8" fillId="0" borderId="35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8" fillId="0" borderId="26" xfId="0" quotePrefix="1" applyFont="1" applyBorder="1" applyAlignment="1">
      <alignment horizontal="left" vertical="center"/>
    </xf>
    <xf numFmtId="0" fontId="8" fillId="0" borderId="26" xfId="0" quotePrefix="1" applyFont="1" applyBorder="1" applyAlignment="1">
      <alignment horizontal="left"/>
    </xf>
    <xf numFmtId="0" fontId="5" fillId="0" borderId="0" xfId="0" quotePrefix="1" applyFont="1" applyAlignment="1">
      <alignment wrapText="1"/>
    </xf>
    <xf numFmtId="0" fontId="8" fillId="0" borderId="29" xfId="0" quotePrefix="1" applyFont="1" applyBorder="1" applyAlignment="1">
      <alignment horizontal="left" vertical="center"/>
    </xf>
    <xf numFmtId="166" fontId="8" fillId="0" borderId="29" xfId="0" quotePrefix="1" applyNumberFormat="1" applyFont="1" applyBorder="1" applyAlignment="1">
      <alignment horizontal="left"/>
    </xf>
    <xf numFmtId="0" fontId="8" fillId="0" borderId="35" xfId="0" quotePrefix="1" applyFont="1" applyBorder="1" applyAlignment="1">
      <alignment horizontal="left"/>
    </xf>
    <xf numFmtId="0" fontId="8" fillId="0" borderId="32" xfId="0" quotePrefix="1" applyFont="1" applyBorder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numFmt numFmtId="0" formatCode="General"/>
      <fill>
        <patternFill patternType="solid">
          <fgColor indexed="64"/>
          <bgColor rgb="FF085C4D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85C4D"/>
      <color rgb="FF097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422807</xdr:colOff>
      <xdr:row>0</xdr:row>
      <xdr:rowOff>181551</xdr:rowOff>
    </xdr:from>
    <xdr:to>
      <xdr:col>10</xdr:col>
      <xdr:colOff>830036</xdr:colOff>
      <xdr:row>9</xdr:row>
      <xdr:rowOff>185056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DCCBBC9-AAE6-B221-8713-F5E0E8EA3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78200" y="181551"/>
          <a:ext cx="4883979" cy="28256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BOM_1" displayName="BOM_1" ref="A11:K36" totalsRowShown="0" headerRowDxfId="15" dataDxfId="13" headerRowBorderDxfId="14" tableBorderDxfId="12" totalsRowBorderDxfId="11">
  <autoFilter ref="A11:K36" xr:uid="{00000000-0009-0000-0100-000003000000}"/>
  <tableColumns count="11">
    <tableColumn id="14" xr3:uid="{F3BCDA54-15C3-43BE-9551-40829BB061E4}" name="Item #" dataDxfId="10">
      <calculatedColumnFormula>ROW()-11</calculatedColumnFormula>
    </tableColumn>
    <tableColumn id="1" xr3:uid="{00000000-0010-0000-0000-000001000000}" name="Designator" dataDxfId="9"/>
    <tableColumn id="5" xr3:uid="{96234393-A0DF-4D15-B608-78515704EBD9}" name="Layer" dataDxfId="8"/>
    <tableColumn id="2" xr3:uid="{00000000-0010-0000-0000-000002000000}" name="Description" dataDxfId="7"/>
    <tableColumn id="3" xr3:uid="{00000000-0010-0000-0000-000003000000}" name="Comment" dataDxfId="6"/>
    <tableColumn id="13" xr3:uid="{61CF149B-20D3-48DA-AACF-2C17F33A8416}" name="Package / Case" dataDxfId="5"/>
    <tableColumn id="4" xr3:uid="{00000000-0010-0000-0000-000004000000}" name="Supplier 1" dataDxfId="4"/>
    <tableColumn id="6" xr3:uid="{00000000-0010-0000-0000-000006000000}" name="Supplier Part Number 1" dataDxfId="3"/>
    <tableColumn id="8" xr3:uid="{00000000-0010-0000-0000-000008000000}" name="Quantity" dataDxfId="2"/>
    <tableColumn id="16" xr3:uid="{E58AB2F4-CCE0-4F64-A1F3-BCADC0799BA0}" name="Quantity Total" dataDxfId="1">
      <calculatedColumnFormula>BOM_1[[#This Row],[Quantity]]*$B$9</calculatedColumnFormula>
    </tableColumn>
    <tableColumn id="12" xr3:uid="{00000000-0010-0000-0000-00000C000000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tabSelected="1" zoomScale="70" zoomScaleNormal="70" workbookViewId="0">
      <selection activeCell="A11" sqref="A11"/>
    </sheetView>
  </sheetViews>
  <sheetFormatPr defaultColWidth="9.109375" defaultRowHeight="14.4" x14ac:dyDescent="0.3"/>
  <cols>
    <col min="1" max="1" width="26" bestFit="1" customWidth="1"/>
    <col min="2" max="2" width="59.33203125" customWidth="1"/>
    <col min="3" max="3" width="23.44140625" customWidth="1"/>
    <col min="4" max="4" width="17" customWidth="1"/>
    <col min="5" max="5" width="50.6640625" customWidth="1"/>
    <col min="6" max="6" width="28.6640625" customWidth="1"/>
    <col min="7" max="7" width="15.6640625" customWidth="1"/>
    <col min="8" max="8" width="24.33203125" customWidth="1"/>
    <col min="9" max="9" width="28.6640625" customWidth="1"/>
    <col min="10" max="10" width="38.33203125" customWidth="1"/>
    <col min="11" max="11" width="15" customWidth="1"/>
    <col min="12" max="12" width="23.5546875" customWidth="1"/>
    <col min="13" max="13" width="28.5546875" customWidth="1"/>
    <col min="14" max="255" width="11.44140625" customWidth="1"/>
  </cols>
  <sheetData>
    <row r="1" spans="1:11" ht="15" customHeight="1" thickTop="1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8"/>
    </row>
    <row r="2" spans="1:11" ht="15" customHeight="1" x14ac:dyDescent="0.3">
      <c r="A2" s="39"/>
      <c r="B2" s="40"/>
      <c r="C2" s="40"/>
      <c r="D2" s="40"/>
      <c r="E2" s="40"/>
      <c r="F2" s="40"/>
      <c r="G2" s="40"/>
      <c r="H2" s="40"/>
      <c r="I2" s="40"/>
      <c r="J2" s="40"/>
      <c r="K2" s="41"/>
    </row>
    <row r="3" spans="1:11" ht="15" thickBot="1" x14ac:dyDescent="0.35">
      <c r="A3" s="42"/>
      <c r="B3" s="43"/>
      <c r="C3" s="43"/>
      <c r="D3" s="43"/>
      <c r="E3" s="43"/>
      <c r="F3" s="43"/>
      <c r="G3" s="43"/>
      <c r="H3" s="43"/>
      <c r="I3" s="43"/>
      <c r="J3" s="43"/>
      <c r="K3" s="44"/>
    </row>
    <row r="4" spans="1:11" ht="15.6" thickTop="1" thickBot="1" x14ac:dyDescent="0.35">
      <c r="G4" s="1"/>
    </row>
    <row r="5" spans="1:11" ht="25.8" x14ac:dyDescent="0.5">
      <c r="A5" s="16" t="s">
        <v>1</v>
      </c>
      <c r="B5" s="58" t="s">
        <v>15</v>
      </c>
      <c r="C5" s="45"/>
      <c r="D5" s="50" t="s">
        <v>4</v>
      </c>
      <c r="E5" s="51"/>
      <c r="F5" s="59" t="s">
        <v>16</v>
      </c>
      <c r="G5" s="52"/>
      <c r="H5" s="53"/>
      <c r="I5" s="60" t="s">
        <v>17</v>
      </c>
      <c r="J5" s="15"/>
    </row>
    <row r="6" spans="1:11" ht="25.8" x14ac:dyDescent="0.5">
      <c r="A6" s="17" t="s">
        <v>9</v>
      </c>
      <c r="B6" s="61" t="s">
        <v>18</v>
      </c>
      <c r="C6" s="47"/>
      <c r="D6" s="48" t="s">
        <v>6</v>
      </c>
      <c r="E6" s="49"/>
      <c r="F6" s="62" t="s">
        <v>19</v>
      </c>
      <c r="G6" s="54"/>
      <c r="H6" s="55"/>
      <c r="I6" s="60" t="s">
        <v>20</v>
      </c>
    </row>
    <row r="7" spans="1:11" ht="25.8" x14ac:dyDescent="0.5">
      <c r="A7" s="17" t="s">
        <v>8</v>
      </c>
      <c r="B7" s="46" t="s">
        <v>11</v>
      </c>
      <c r="C7" s="47"/>
      <c r="D7" s="48" t="s">
        <v>12</v>
      </c>
      <c r="E7" s="49"/>
      <c r="F7" s="62" t="s">
        <v>21</v>
      </c>
      <c r="G7" s="54"/>
      <c r="H7" s="55"/>
    </row>
    <row r="8" spans="1:11" ht="25.8" x14ac:dyDescent="0.5">
      <c r="A8" s="18" t="s">
        <v>10</v>
      </c>
      <c r="B8" s="46" t="str">
        <f>_xlfn.CONCAT(I5,".",I6)</f>
        <v>1.00</v>
      </c>
      <c r="C8" s="47"/>
      <c r="D8" s="48" t="s">
        <v>13</v>
      </c>
      <c r="E8" s="49"/>
      <c r="F8" s="63" t="s">
        <v>22</v>
      </c>
      <c r="G8" s="56"/>
      <c r="H8" s="57"/>
    </row>
    <row r="9" spans="1:11" ht="52.2" thickBot="1" x14ac:dyDescent="0.55000000000000004">
      <c r="A9" s="19" t="s">
        <v>7</v>
      </c>
      <c r="B9" s="22">
        <v>1</v>
      </c>
      <c r="C9" s="23"/>
      <c r="D9" s="20" t="s">
        <v>3</v>
      </c>
      <c r="E9" s="21"/>
      <c r="F9" s="64" t="s">
        <v>23</v>
      </c>
      <c r="G9" s="22"/>
      <c r="H9" s="23"/>
    </row>
    <row r="11" spans="1:11" ht="75" customHeight="1" x14ac:dyDescent="0.4">
      <c r="A11" s="12" t="s">
        <v>14</v>
      </c>
      <c r="B11" s="13" t="s">
        <v>24</v>
      </c>
      <c r="C11" s="13" t="s">
        <v>50</v>
      </c>
      <c r="D11" s="13" t="s">
        <v>51</v>
      </c>
      <c r="E11" s="13" t="s">
        <v>76</v>
      </c>
      <c r="F11" s="13" t="s">
        <v>101</v>
      </c>
      <c r="G11" s="13" t="s">
        <v>105</v>
      </c>
      <c r="H11" s="13" t="s">
        <v>107</v>
      </c>
      <c r="I11" s="13" t="s">
        <v>119</v>
      </c>
      <c r="J11" s="14" t="s">
        <v>2</v>
      </c>
      <c r="K11" s="14" t="s">
        <v>120</v>
      </c>
    </row>
    <row r="12" spans="1:11" s="2" customFormat="1" ht="31.2" x14ac:dyDescent="0.3">
      <c r="A12" s="9">
        <f t="shared" ref="A12:A36" si="0">ROW()-11</f>
        <v>1</v>
      </c>
      <c r="B12" s="10" t="s">
        <v>25</v>
      </c>
      <c r="C12" s="10" t="s">
        <v>23</v>
      </c>
      <c r="D12" s="10" t="s">
        <v>52</v>
      </c>
      <c r="E12" s="10" t="s">
        <v>77</v>
      </c>
      <c r="F12" s="10" t="s">
        <v>102</v>
      </c>
      <c r="G12" s="10" t="s">
        <v>106</v>
      </c>
      <c r="H12" s="10" t="s">
        <v>108</v>
      </c>
      <c r="I12" s="10">
        <v>7</v>
      </c>
      <c r="J12" s="11">
        <f>BOM_1[[#This Row],[Quantity]]*$B$9</f>
        <v>7</v>
      </c>
      <c r="K12" s="11"/>
    </row>
    <row r="13" spans="1:11" s="2" customFormat="1" ht="31.2" x14ac:dyDescent="0.3">
      <c r="A13" s="9">
        <f t="shared" si="0"/>
        <v>2</v>
      </c>
      <c r="B13" s="10" t="s">
        <v>26</v>
      </c>
      <c r="C13" s="10" t="s">
        <v>23</v>
      </c>
      <c r="D13" s="10" t="s">
        <v>53</v>
      </c>
      <c r="E13" s="10" t="s">
        <v>78</v>
      </c>
      <c r="F13" s="10" t="s">
        <v>102</v>
      </c>
      <c r="G13" s="10" t="s">
        <v>106</v>
      </c>
      <c r="H13" s="10" t="s">
        <v>109</v>
      </c>
      <c r="I13" s="10">
        <v>3</v>
      </c>
      <c r="J13" s="11">
        <f>BOM_1[[#This Row],[Quantity]]*$B$9</f>
        <v>3</v>
      </c>
      <c r="K13" s="11"/>
    </row>
    <row r="14" spans="1:11" s="2" customFormat="1" ht="31.2" x14ac:dyDescent="0.3">
      <c r="A14" s="9">
        <f t="shared" si="0"/>
        <v>3</v>
      </c>
      <c r="B14" s="10" t="s">
        <v>27</v>
      </c>
      <c r="C14" s="10" t="s">
        <v>23</v>
      </c>
      <c r="D14" s="10" t="s">
        <v>54</v>
      </c>
      <c r="E14" s="10" t="s">
        <v>79</v>
      </c>
      <c r="F14" s="10" t="s">
        <v>102</v>
      </c>
      <c r="G14" s="10" t="s">
        <v>106</v>
      </c>
      <c r="H14" s="10" t="s">
        <v>110</v>
      </c>
      <c r="I14" s="10">
        <v>1</v>
      </c>
      <c r="J14" s="11">
        <f>BOM_1[[#This Row],[Quantity]]*$B$9</f>
        <v>1</v>
      </c>
      <c r="K14" s="11"/>
    </row>
    <row r="15" spans="1:11" s="2" customFormat="1" ht="31.2" x14ac:dyDescent="0.3">
      <c r="A15" s="9">
        <f t="shared" si="0"/>
        <v>4</v>
      </c>
      <c r="B15" s="10" t="s">
        <v>28</v>
      </c>
      <c r="C15" s="10" t="s">
        <v>23</v>
      </c>
      <c r="D15" s="10" t="s">
        <v>55</v>
      </c>
      <c r="E15" s="10" t="s">
        <v>80</v>
      </c>
      <c r="F15" s="10" t="s">
        <v>102</v>
      </c>
      <c r="G15" s="10" t="s">
        <v>106</v>
      </c>
      <c r="H15" s="10" t="s">
        <v>111</v>
      </c>
      <c r="I15" s="10">
        <v>2</v>
      </c>
      <c r="J15" s="11">
        <f>BOM_1[[#This Row],[Quantity]]*$B$9</f>
        <v>2</v>
      </c>
      <c r="K15" s="11"/>
    </row>
    <row r="16" spans="1:11" s="2" customFormat="1" ht="31.2" x14ac:dyDescent="0.3">
      <c r="A16" s="9">
        <f t="shared" si="0"/>
        <v>5</v>
      </c>
      <c r="B16" s="10" t="s">
        <v>29</v>
      </c>
      <c r="C16" s="10" t="s">
        <v>23</v>
      </c>
      <c r="D16" s="10" t="s">
        <v>56</v>
      </c>
      <c r="E16" s="10" t="s">
        <v>79</v>
      </c>
      <c r="F16" s="10" t="s">
        <v>102</v>
      </c>
      <c r="G16" s="10" t="s">
        <v>106</v>
      </c>
      <c r="H16" s="10" t="s">
        <v>112</v>
      </c>
      <c r="I16" s="10">
        <v>1</v>
      </c>
      <c r="J16" s="11">
        <f>BOM_1[[#This Row],[Quantity]]*$B$9</f>
        <v>1</v>
      </c>
      <c r="K16" s="11"/>
    </row>
    <row r="17" spans="1:11" s="2" customFormat="1" ht="31.2" x14ac:dyDescent="0.3">
      <c r="A17" s="9">
        <f t="shared" si="0"/>
        <v>6</v>
      </c>
      <c r="B17" s="10" t="s">
        <v>30</v>
      </c>
      <c r="C17" s="10" t="s">
        <v>23</v>
      </c>
      <c r="D17" s="10" t="s">
        <v>57</v>
      </c>
      <c r="E17" s="10" t="s">
        <v>81</v>
      </c>
      <c r="F17" s="10"/>
      <c r="G17" s="10"/>
      <c r="H17" s="10"/>
      <c r="I17" s="10">
        <v>1</v>
      </c>
      <c r="J17" s="11">
        <f>BOM_1[[#This Row],[Quantity]]*$B$9</f>
        <v>1</v>
      </c>
      <c r="K17" s="11"/>
    </row>
    <row r="18" spans="1:11" s="2" customFormat="1" ht="46.8" x14ac:dyDescent="0.3">
      <c r="A18" s="9">
        <f t="shared" si="0"/>
        <v>7</v>
      </c>
      <c r="B18" s="10" t="s">
        <v>31</v>
      </c>
      <c r="C18" s="10" t="s">
        <v>23</v>
      </c>
      <c r="D18" s="10" t="s">
        <v>58</v>
      </c>
      <c r="E18" s="10" t="s">
        <v>82</v>
      </c>
      <c r="F18" s="10" t="s">
        <v>103</v>
      </c>
      <c r="G18" s="10" t="s">
        <v>106</v>
      </c>
      <c r="H18" s="10" t="s">
        <v>113</v>
      </c>
      <c r="I18" s="10">
        <v>1</v>
      </c>
      <c r="J18" s="11">
        <f>BOM_1[[#This Row],[Quantity]]*$B$9</f>
        <v>1</v>
      </c>
      <c r="K18" s="11"/>
    </row>
    <row r="19" spans="1:11" s="2" customFormat="1" ht="93.6" x14ac:dyDescent="0.3">
      <c r="A19" s="9">
        <f t="shared" si="0"/>
        <v>8</v>
      </c>
      <c r="B19" s="10" t="s">
        <v>32</v>
      </c>
      <c r="C19" s="10" t="s">
        <v>23</v>
      </c>
      <c r="D19" s="10" t="s">
        <v>59</v>
      </c>
      <c r="E19" s="10" t="s">
        <v>83</v>
      </c>
      <c r="F19" s="10"/>
      <c r="G19" s="10"/>
      <c r="H19" s="10"/>
      <c r="I19" s="10">
        <v>1</v>
      </c>
      <c r="J19" s="11">
        <f>BOM_1[[#This Row],[Quantity]]*$B$9</f>
        <v>1</v>
      </c>
      <c r="K19" s="11"/>
    </row>
    <row r="20" spans="1:11" s="2" customFormat="1" ht="46.8" x14ac:dyDescent="0.3">
      <c r="A20" s="9">
        <f t="shared" si="0"/>
        <v>9</v>
      </c>
      <c r="B20" s="10" t="s">
        <v>33</v>
      </c>
      <c r="C20" s="10" t="s">
        <v>23</v>
      </c>
      <c r="D20" s="10" t="s">
        <v>60</v>
      </c>
      <c r="E20" s="10" t="s">
        <v>84</v>
      </c>
      <c r="F20" s="10" t="s">
        <v>102</v>
      </c>
      <c r="G20" s="10" t="s">
        <v>106</v>
      </c>
      <c r="H20" s="10" t="s">
        <v>114</v>
      </c>
      <c r="I20" s="10">
        <v>1</v>
      </c>
      <c r="J20" s="11">
        <f>BOM_1[[#This Row],[Quantity]]*$B$9</f>
        <v>1</v>
      </c>
      <c r="K20" s="11"/>
    </row>
    <row r="21" spans="1:11" s="2" customFormat="1" ht="46.8" x14ac:dyDescent="0.3">
      <c r="A21" s="9">
        <f t="shared" si="0"/>
        <v>10</v>
      </c>
      <c r="B21" s="10" t="s">
        <v>34</v>
      </c>
      <c r="C21" s="10" t="s">
        <v>23</v>
      </c>
      <c r="D21" s="10" t="s">
        <v>61</v>
      </c>
      <c r="E21" s="10" t="s">
        <v>85</v>
      </c>
      <c r="F21" s="10" t="s">
        <v>102</v>
      </c>
      <c r="G21" s="10" t="s">
        <v>106</v>
      </c>
      <c r="H21" s="10" t="s">
        <v>115</v>
      </c>
      <c r="I21" s="10">
        <v>1</v>
      </c>
      <c r="J21" s="11">
        <f>BOM_1[[#This Row],[Quantity]]*$B$9</f>
        <v>1</v>
      </c>
      <c r="K21" s="11"/>
    </row>
    <row r="22" spans="1:11" s="2" customFormat="1" ht="46.8" x14ac:dyDescent="0.3">
      <c r="A22" s="9">
        <f t="shared" si="0"/>
        <v>11</v>
      </c>
      <c r="B22" s="10" t="s">
        <v>35</v>
      </c>
      <c r="C22" s="10" t="s">
        <v>23</v>
      </c>
      <c r="D22" s="10" t="s">
        <v>62</v>
      </c>
      <c r="E22" s="10" t="s">
        <v>86</v>
      </c>
      <c r="F22" s="10" t="s">
        <v>102</v>
      </c>
      <c r="G22" s="10" t="s">
        <v>106</v>
      </c>
      <c r="H22" s="10" t="s">
        <v>116</v>
      </c>
      <c r="I22" s="10">
        <v>1</v>
      </c>
      <c r="J22" s="11">
        <f>BOM_1[[#This Row],[Quantity]]*$B$9</f>
        <v>1</v>
      </c>
      <c r="K22" s="11"/>
    </row>
    <row r="23" spans="1:11" s="2" customFormat="1" ht="109.2" x14ac:dyDescent="0.3">
      <c r="A23" s="9">
        <f t="shared" si="0"/>
        <v>12</v>
      </c>
      <c r="B23" s="10" t="s">
        <v>36</v>
      </c>
      <c r="C23" s="10" t="s">
        <v>23</v>
      </c>
      <c r="D23" s="10" t="s">
        <v>63</v>
      </c>
      <c r="E23" s="10" t="s">
        <v>87</v>
      </c>
      <c r="F23" s="10"/>
      <c r="G23" s="10"/>
      <c r="H23" s="10"/>
      <c r="I23" s="10">
        <v>1</v>
      </c>
      <c r="J23" s="11">
        <f>BOM_1[[#This Row],[Quantity]]*$B$9</f>
        <v>1</v>
      </c>
      <c r="K23" s="11"/>
    </row>
    <row r="24" spans="1:11" s="2" customFormat="1" ht="31.2" x14ac:dyDescent="0.3">
      <c r="A24" s="9">
        <f t="shared" si="0"/>
        <v>13</v>
      </c>
      <c r="B24" s="10" t="s">
        <v>37</v>
      </c>
      <c r="C24" s="10" t="s">
        <v>23</v>
      </c>
      <c r="D24" s="10" t="s">
        <v>64</v>
      </c>
      <c r="E24" s="10" t="s">
        <v>88</v>
      </c>
      <c r="F24" s="10" t="s">
        <v>104</v>
      </c>
      <c r="G24" s="10" t="s">
        <v>106</v>
      </c>
      <c r="H24" s="10" t="s">
        <v>117</v>
      </c>
      <c r="I24" s="10">
        <v>1</v>
      </c>
      <c r="J24" s="11">
        <f>BOM_1[[#This Row],[Quantity]]*$B$9</f>
        <v>1</v>
      </c>
      <c r="K24" s="11"/>
    </row>
    <row r="25" spans="1:11" s="2" customFormat="1" ht="46.8" x14ac:dyDescent="0.3">
      <c r="A25" s="9">
        <f t="shared" si="0"/>
        <v>14</v>
      </c>
      <c r="B25" s="10" t="s">
        <v>38</v>
      </c>
      <c r="C25" s="10" t="s">
        <v>23</v>
      </c>
      <c r="D25" s="10" t="s">
        <v>65</v>
      </c>
      <c r="E25" s="10" t="s">
        <v>89</v>
      </c>
      <c r="F25" s="10"/>
      <c r="G25" s="10"/>
      <c r="H25" s="10"/>
      <c r="I25" s="10">
        <v>1</v>
      </c>
      <c r="J25" s="11">
        <f>BOM_1[[#This Row],[Quantity]]*$B$9</f>
        <v>1</v>
      </c>
      <c r="K25" s="11"/>
    </row>
    <row r="26" spans="1:11" s="2" customFormat="1" ht="124.8" x14ac:dyDescent="0.3">
      <c r="A26" s="9">
        <f t="shared" si="0"/>
        <v>15</v>
      </c>
      <c r="B26" s="10" t="s">
        <v>39</v>
      </c>
      <c r="C26" s="10" t="s">
        <v>23</v>
      </c>
      <c r="D26" s="10" t="s">
        <v>66</v>
      </c>
      <c r="E26" s="10" t="s">
        <v>90</v>
      </c>
      <c r="F26" s="10"/>
      <c r="G26" s="10"/>
      <c r="H26" s="10"/>
      <c r="I26" s="10">
        <v>1</v>
      </c>
      <c r="J26" s="11">
        <f>BOM_1[[#This Row],[Quantity]]*$B$9</f>
        <v>1</v>
      </c>
      <c r="K26" s="11"/>
    </row>
    <row r="27" spans="1:11" s="2" customFormat="1" ht="46.8" x14ac:dyDescent="0.3">
      <c r="A27" s="9">
        <f t="shared" si="0"/>
        <v>16</v>
      </c>
      <c r="B27" s="10" t="s">
        <v>40</v>
      </c>
      <c r="C27" s="10" t="s">
        <v>23</v>
      </c>
      <c r="D27" s="10" t="s">
        <v>67</v>
      </c>
      <c r="E27" s="10" t="s">
        <v>91</v>
      </c>
      <c r="F27" s="10"/>
      <c r="G27" s="10"/>
      <c r="H27" s="10"/>
      <c r="I27" s="10">
        <v>1</v>
      </c>
      <c r="J27" s="11">
        <f>BOM_1[[#This Row],[Quantity]]*$B$9</f>
        <v>1</v>
      </c>
      <c r="K27" s="11"/>
    </row>
    <row r="28" spans="1:11" s="2" customFormat="1" ht="62.4" x14ac:dyDescent="0.3">
      <c r="A28" s="9">
        <f t="shared" si="0"/>
        <v>17</v>
      </c>
      <c r="B28" s="10" t="s">
        <v>41</v>
      </c>
      <c r="C28" s="10" t="s">
        <v>23</v>
      </c>
      <c r="D28" s="10" t="s">
        <v>68</v>
      </c>
      <c r="E28" s="10" t="s">
        <v>92</v>
      </c>
      <c r="F28" s="10"/>
      <c r="G28" s="10"/>
      <c r="H28" s="10"/>
      <c r="I28" s="10">
        <v>1</v>
      </c>
      <c r="J28" s="11">
        <f>BOM_1[[#This Row],[Quantity]]*$B$9</f>
        <v>1</v>
      </c>
      <c r="K28" s="11"/>
    </row>
    <row r="29" spans="1:11" s="2" customFormat="1" ht="46.8" x14ac:dyDescent="0.3">
      <c r="A29" s="9">
        <f t="shared" si="0"/>
        <v>18</v>
      </c>
      <c r="B29" s="10" t="s">
        <v>42</v>
      </c>
      <c r="C29" s="10" t="s">
        <v>23</v>
      </c>
      <c r="D29" s="10" t="s">
        <v>69</v>
      </c>
      <c r="E29" s="10" t="s">
        <v>93</v>
      </c>
      <c r="F29" s="10" t="s">
        <v>102</v>
      </c>
      <c r="G29" s="10" t="s">
        <v>106</v>
      </c>
      <c r="H29" s="10" t="s">
        <v>118</v>
      </c>
      <c r="I29" s="10">
        <v>18</v>
      </c>
      <c r="J29" s="11">
        <f>BOM_1[[#This Row],[Quantity]]*$B$9</f>
        <v>18</v>
      </c>
      <c r="K29" s="11"/>
    </row>
    <row r="30" spans="1:11" s="2" customFormat="1" ht="46.8" x14ac:dyDescent="0.3">
      <c r="A30" s="9">
        <f t="shared" si="0"/>
        <v>19</v>
      </c>
      <c r="B30" s="10" t="s">
        <v>43</v>
      </c>
      <c r="C30" s="10" t="s">
        <v>23</v>
      </c>
      <c r="D30" s="10" t="s">
        <v>70</v>
      </c>
      <c r="E30" s="10" t="s">
        <v>94</v>
      </c>
      <c r="F30" s="10"/>
      <c r="G30" s="10"/>
      <c r="H30" s="10"/>
      <c r="I30" s="10">
        <v>2</v>
      </c>
      <c r="J30" s="11">
        <f>BOM_1[[#This Row],[Quantity]]*$B$9</f>
        <v>2</v>
      </c>
      <c r="K30" s="11"/>
    </row>
    <row r="31" spans="1:11" s="2" customFormat="1" ht="15.6" x14ac:dyDescent="0.3">
      <c r="A31" s="9">
        <f t="shared" si="0"/>
        <v>20</v>
      </c>
      <c r="B31" s="10" t="s">
        <v>44</v>
      </c>
      <c r="C31" s="10" t="s">
        <v>23</v>
      </c>
      <c r="D31" s="10"/>
      <c r="E31" s="10" t="s">
        <v>95</v>
      </c>
      <c r="F31" s="10"/>
      <c r="G31" s="10"/>
      <c r="H31" s="10"/>
      <c r="I31" s="10">
        <v>1</v>
      </c>
      <c r="J31" s="11">
        <f>BOM_1[[#This Row],[Quantity]]*$B$9</f>
        <v>1</v>
      </c>
      <c r="K31" s="11"/>
    </row>
    <row r="32" spans="1:11" s="2" customFormat="1" ht="46.8" x14ac:dyDescent="0.3">
      <c r="A32" s="9">
        <f t="shared" si="0"/>
        <v>21</v>
      </c>
      <c r="B32" s="10" t="s">
        <v>45</v>
      </c>
      <c r="C32" s="10" t="s">
        <v>23</v>
      </c>
      <c r="D32" s="10" t="s">
        <v>71</v>
      </c>
      <c r="E32" s="10" t="s">
        <v>96</v>
      </c>
      <c r="F32" s="10"/>
      <c r="G32" s="10"/>
      <c r="H32" s="10"/>
      <c r="I32" s="10">
        <v>1</v>
      </c>
      <c r="J32" s="11">
        <f>BOM_1[[#This Row],[Quantity]]*$B$9</f>
        <v>1</v>
      </c>
      <c r="K32" s="11"/>
    </row>
    <row r="33" spans="1:11" s="2" customFormat="1" ht="78" x14ac:dyDescent="0.3">
      <c r="A33" s="9">
        <f t="shared" si="0"/>
        <v>22</v>
      </c>
      <c r="B33" s="10" t="s">
        <v>46</v>
      </c>
      <c r="C33" s="10" t="s">
        <v>23</v>
      </c>
      <c r="D33" s="10" t="s">
        <v>72</v>
      </c>
      <c r="E33" s="10" t="s">
        <v>97</v>
      </c>
      <c r="F33" s="10"/>
      <c r="G33" s="10"/>
      <c r="H33" s="10"/>
      <c r="I33" s="10">
        <v>1</v>
      </c>
      <c r="J33" s="11">
        <f>BOM_1[[#This Row],[Quantity]]*$B$9</f>
        <v>1</v>
      </c>
      <c r="K33" s="11"/>
    </row>
    <row r="34" spans="1:11" s="2" customFormat="1" ht="46.8" x14ac:dyDescent="0.3">
      <c r="A34" s="9">
        <f t="shared" si="0"/>
        <v>23</v>
      </c>
      <c r="B34" s="10" t="s">
        <v>47</v>
      </c>
      <c r="C34" s="10" t="s">
        <v>23</v>
      </c>
      <c r="D34" s="10" t="s">
        <v>73</v>
      </c>
      <c r="E34" s="10" t="s">
        <v>98</v>
      </c>
      <c r="F34" s="10"/>
      <c r="G34" s="10"/>
      <c r="H34" s="10"/>
      <c r="I34" s="10">
        <v>1</v>
      </c>
      <c r="J34" s="11">
        <f>BOM_1[[#This Row],[Quantity]]*$B$9</f>
        <v>1</v>
      </c>
      <c r="K34" s="11"/>
    </row>
    <row r="35" spans="1:11" s="2" customFormat="1" ht="171.6" x14ac:dyDescent="0.3">
      <c r="A35" s="9">
        <f t="shared" si="0"/>
        <v>24</v>
      </c>
      <c r="B35" s="10" t="s">
        <v>48</v>
      </c>
      <c r="C35" s="10" t="s">
        <v>23</v>
      </c>
      <c r="D35" s="10" t="s">
        <v>74</v>
      </c>
      <c r="E35" s="10" t="s">
        <v>99</v>
      </c>
      <c r="F35" s="10"/>
      <c r="G35" s="10"/>
      <c r="H35" s="10"/>
      <c r="I35" s="10">
        <v>1</v>
      </c>
      <c r="J35" s="11">
        <f>BOM_1[[#This Row],[Quantity]]*$B$9</f>
        <v>1</v>
      </c>
      <c r="K35" s="11"/>
    </row>
    <row r="36" spans="1:11" s="2" customFormat="1" ht="63" thickBot="1" x14ac:dyDescent="0.35">
      <c r="A36" s="9">
        <f t="shared" si="0"/>
        <v>25</v>
      </c>
      <c r="B36" s="10" t="s">
        <v>49</v>
      </c>
      <c r="C36" s="10" t="s">
        <v>23</v>
      </c>
      <c r="D36" s="10" t="s">
        <v>75</v>
      </c>
      <c r="E36" s="10" t="s">
        <v>100</v>
      </c>
      <c r="F36" s="10"/>
      <c r="G36" s="10"/>
      <c r="H36" s="10"/>
      <c r="I36" s="10">
        <v>1</v>
      </c>
      <c r="J36" s="11">
        <f>BOM_1[[#This Row],[Quantity]]*$B$9</f>
        <v>1</v>
      </c>
      <c r="K36" s="11"/>
    </row>
    <row r="37" spans="1:11" s="2" customFormat="1" ht="15" thickBot="1" x14ac:dyDescent="0.35">
      <c r="A37" s="33" t="s">
        <v>5</v>
      </c>
      <c r="B37" s="34"/>
      <c r="C37" s="35"/>
      <c r="K37" s="3"/>
    </row>
    <row r="38" spans="1:11" s="2" customFormat="1" x14ac:dyDescent="0.3">
      <c r="A38" s="24"/>
      <c r="B38" s="25"/>
      <c r="C38" s="26"/>
      <c r="K38" s="4"/>
    </row>
    <row r="39" spans="1:11" s="2" customFormat="1" x14ac:dyDescent="0.3">
      <c r="A39" s="27"/>
      <c r="B39" s="28"/>
      <c r="C39" s="29"/>
      <c r="K39" s="4"/>
    </row>
    <row r="40" spans="1:11" s="2" customFormat="1" x14ac:dyDescent="0.3">
      <c r="A40" s="27"/>
      <c r="B40" s="28"/>
      <c r="C40" s="29"/>
      <c r="K40" s="4"/>
    </row>
    <row r="41" spans="1:11" s="2" customFormat="1" x14ac:dyDescent="0.3">
      <c r="A41" s="27"/>
      <c r="B41" s="28"/>
      <c r="C41" s="29"/>
      <c r="D41" s="15"/>
      <c r="E41" s="5"/>
      <c r="F41" s="5"/>
      <c r="G41" s="5"/>
      <c r="H41" s="5"/>
      <c r="I41" s="5"/>
      <c r="J41" s="5"/>
      <c r="K41" s="4"/>
    </row>
    <row r="42" spans="1:11" s="2" customFormat="1" ht="15" thickBot="1" x14ac:dyDescent="0.35">
      <c r="A42" s="30"/>
      <c r="B42" s="31"/>
      <c r="C42" s="32"/>
      <c r="D42" s="15"/>
    </row>
    <row r="44" spans="1:11" x14ac:dyDescent="0.3">
      <c r="D44" s="8"/>
      <c r="E44" s="8"/>
      <c r="F44" s="6"/>
      <c r="G44" s="6"/>
      <c r="H44" s="6"/>
      <c r="I44" s="6"/>
      <c r="J44" s="6"/>
      <c r="K44" s="7"/>
    </row>
    <row r="45" spans="1:11" x14ac:dyDescent="0.3">
      <c r="D45" s="8"/>
      <c r="E45" s="8"/>
      <c r="F45" s="6"/>
      <c r="G45" s="6"/>
      <c r="H45" s="6"/>
      <c r="I45" s="6"/>
      <c r="J45" s="6"/>
      <c r="K45" s="8"/>
    </row>
  </sheetData>
  <mergeCells count="18">
    <mergeCell ref="A1:K3"/>
    <mergeCell ref="B5:C5"/>
    <mergeCell ref="B6:C6"/>
    <mergeCell ref="B7:C7"/>
    <mergeCell ref="B8:C8"/>
    <mergeCell ref="D7:E7"/>
    <mergeCell ref="D8:E8"/>
    <mergeCell ref="D5:E5"/>
    <mergeCell ref="D6:E6"/>
    <mergeCell ref="F5:H5"/>
    <mergeCell ref="F6:H6"/>
    <mergeCell ref="F7:H7"/>
    <mergeCell ref="F8:H8"/>
    <mergeCell ref="D9:E9"/>
    <mergeCell ref="F9:H9"/>
    <mergeCell ref="A38:C42"/>
    <mergeCell ref="A37:C37"/>
    <mergeCell ref="B9:C9"/>
  </mergeCells>
  <pageMargins left="0.25" right="0.25" top="0.75" bottom="0.75" header="0.3" footer="0.3"/>
  <pageSetup paperSize="5" scale="47" fitToHeight="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BOM</vt:lpstr>
      <vt:lpstr>BOM!Print_Area</vt:lpstr>
      <vt:lpstr>BOM!Print_Titles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Gauthier, Louis-Philippe</dc:creator>
  <cp:lastModifiedBy>Champagne, William</cp:lastModifiedBy>
  <cp:lastPrinted>2024-02-27T18:30:32Z</cp:lastPrinted>
  <dcterms:created xsi:type="dcterms:W3CDTF">2013-03-22T02:05:47Z</dcterms:created>
  <dcterms:modified xsi:type="dcterms:W3CDTF">2026-09-11T16:04:16Z</dcterms:modified>
</cp:coreProperties>
</file>